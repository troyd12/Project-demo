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AI project folder\"/>
    </mc:Choice>
  </mc:AlternateContent>
  <xr:revisionPtr revIDLastSave="0" documentId="8_{5210DEA2-F93B-43AD-9802-FDAC1D0D2B63}" xr6:coauthVersionLast="47" xr6:coauthVersionMax="47" xr10:uidLastSave="{00000000-0000-0000-0000-000000000000}"/>
  <bookViews>
    <workbookView xWindow="-120" yWindow="-120" windowWidth="38640" windowHeight="15720" tabRatio="500" xr2:uid="{00000000-000D-0000-FFFF-FFFF00000000}"/>
  </bookViews>
  <sheets>
    <sheet name="Balance Sheet" sheetId="1" r:id="rId1"/>
  </sheets>
  <definedNames>
    <definedName name="_xlnm.Print_Titles" localSheetId="0">'Balance Sheet'!$1:$5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57" i="1" l="1"/>
  <c r="C57" i="1"/>
  <c r="D56" i="1"/>
  <c r="C56" i="1"/>
  <c r="D55" i="1"/>
  <c r="C55" i="1"/>
  <c r="D54" i="1"/>
  <c r="C54" i="1"/>
  <c r="D53" i="1"/>
  <c r="C53" i="1"/>
  <c r="F48" i="1"/>
  <c r="E48" i="1"/>
  <c r="F46" i="1"/>
  <c r="E46" i="1"/>
  <c r="F45" i="1"/>
  <c r="E45" i="1"/>
  <c r="F44" i="1"/>
  <c r="E44" i="1"/>
  <c r="F43" i="1"/>
  <c r="E43" i="1"/>
  <c r="F42" i="1"/>
  <c r="E42" i="1"/>
  <c r="F41" i="1"/>
  <c r="E41" i="1"/>
  <c r="F38" i="1"/>
  <c r="E38" i="1"/>
  <c r="F37" i="1"/>
  <c r="E37" i="1"/>
  <c r="F36" i="1"/>
  <c r="E36" i="1"/>
  <c r="F35" i="1"/>
  <c r="E35" i="1"/>
  <c r="F32" i="1"/>
  <c r="E32" i="1"/>
  <c r="F31" i="1"/>
  <c r="E31" i="1"/>
  <c r="F30" i="1"/>
  <c r="E30" i="1"/>
  <c r="F29" i="1"/>
  <c r="E29" i="1"/>
  <c r="F24" i="1"/>
  <c r="E24" i="1"/>
  <c r="F22" i="1"/>
  <c r="E22" i="1"/>
  <c r="F21" i="1"/>
  <c r="E21" i="1"/>
  <c r="F20" i="1"/>
  <c r="E20" i="1"/>
  <c r="F19" i="1"/>
  <c r="E19" i="1"/>
  <c r="F18" i="1"/>
  <c r="E18" i="1"/>
  <c r="F17" i="1"/>
  <c r="E17" i="1"/>
  <c r="F14" i="1"/>
  <c r="E14" i="1"/>
  <c r="F13" i="1"/>
  <c r="E13" i="1"/>
  <c r="F12" i="1"/>
  <c r="E12" i="1"/>
  <c r="F11" i="1"/>
  <c r="E11" i="1"/>
  <c r="F10" i="1"/>
  <c r="E10" i="1"/>
  <c r="F9" i="1"/>
  <c r="E9" i="1"/>
</calcChain>
</file>

<file path=xl/sharedStrings.xml><?xml version="1.0" encoding="utf-8"?>
<sst xmlns="http://schemas.openxmlformats.org/spreadsheetml/2006/main" count="49" uniqueCount="49">
  <si>
    <t>NVIDIA CORPORATION</t>
  </si>
  <si>
    <t>Consolidated Balance Sheets</t>
  </si>
  <si>
    <t>(In millions, except par value)  |  Source: NVIDIA 10-K, FY2025, Filed February 26, 2025</t>
  </si>
  <si>
    <t>Jan 26, 2025
FY2025</t>
  </si>
  <si>
    <t>Jan 28, 2024
FY2024</t>
  </si>
  <si>
    <t>$ Change</t>
  </si>
  <si>
    <t>% Change</t>
  </si>
  <si>
    <t>ASSETS</t>
  </si>
  <si>
    <t>Current assets:</t>
  </si>
  <si>
    <t>Cash and cash equivalents</t>
  </si>
  <si>
    <t>Marketable securities</t>
  </si>
  <si>
    <t>Accounts receivable, net</t>
  </si>
  <si>
    <t>Inventories</t>
  </si>
  <si>
    <t>Prepaid expenses and other current assets</t>
  </si>
  <si>
    <t>Total current assets</t>
  </si>
  <si>
    <t>Non-current assets:</t>
  </si>
  <si>
    <t>Property and equipment, net</t>
  </si>
  <si>
    <t>Operating lease assets</t>
  </si>
  <si>
    <t>Goodwill</t>
  </si>
  <si>
    <t>Intangible assets, net</t>
  </si>
  <si>
    <t>Deferred income tax assets</t>
  </si>
  <si>
    <t>Other assets</t>
  </si>
  <si>
    <t>TOTAL ASSETS</t>
  </si>
  <si>
    <t>LIABILITIES AND SHAREHOLDERS' EQUITY</t>
  </si>
  <si>
    <t>Current liabilities:</t>
  </si>
  <si>
    <t>Accounts payable</t>
  </si>
  <si>
    <t>Accrued and other current liabilities</t>
  </si>
  <si>
    <t>Short-term debt</t>
  </si>
  <si>
    <t>Total current liabilities</t>
  </si>
  <si>
    <t>Non-current liabilities:</t>
  </si>
  <si>
    <t>Long-term debt</t>
  </si>
  <si>
    <t>Long-term operating lease liabilities</t>
  </si>
  <si>
    <t>Other long-term liabilities</t>
  </si>
  <si>
    <t>Total liabilities</t>
  </si>
  <si>
    <t>Shareholders' equity:</t>
  </si>
  <si>
    <t>Preferred stock ($0.001 par; 20M authorized; none issued)</t>
  </si>
  <si>
    <t>Common stock ($0.001 par; 80B authorized; 24,477M shares)</t>
  </si>
  <si>
    <t>Additional paid-in capital</t>
  </si>
  <si>
    <t>Accumulated other comprehensive income</t>
  </si>
  <si>
    <t>Retained earnings</t>
  </si>
  <si>
    <t>Total shareholders' equity</t>
  </si>
  <si>
    <t>TOTAL LIABILITIES AND SHAREHOLDERS' EQUITY</t>
  </si>
  <si>
    <t>KEY BALANCE SHEET RATIOS  (calculated)</t>
  </si>
  <si>
    <t>Current ratio  (Current Assets ÷ Current Liabilities)</t>
  </si>
  <si>
    <t>Debt-to-equity ratio  (Total Liabilities ÷ Shareholders' Equity)</t>
  </si>
  <si>
    <t>Return on assets indicator  (Net Assets = Total Assets − Total Liabilities)</t>
  </si>
  <si>
    <t>Goodwill as % of Total Assets</t>
  </si>
  <si>
    <t>Cash &amp; Marketable Securities</t>
  </si>
  <si>
    <t>Source: NVIDIA Corporation 10-K Annual Report, FY2025, Filed February 26, 2025 | SEC Filing: 0001045810-25-000023 | All figures in USD millions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</si>
</sst>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-"/>
    <numFmt numFmtId="165" formatCode="0.0%;\(0.0%\);\-"/>
    <numFmt numFmtId="166" formatCode="0.00\x"/>
    <numFmt numFmtId="167" formatCode="0.0%"/>
  </numFmts>
  <fonts count="11" x14ac:knownFonts="1">
    <font>
      <sz val="11"/>
      <color theme="1"/>
      <name val="Calibri"/>
      <family val="2"/>
      <charset val="1"/>
    </font>
    <font>
      <b/>
      <sz val="16"/>
      <color rgb="FF76B900"/>
      <name val="Arial"/>
      <charset val="1"/>
    </font>
    <font>
      <b/>
      <sz val="13"/>
      <color rgb="FF1A1A1A"/>
      <name val="Arial"/>
      <charset val="1"/>
    </font>
    <font>
      <i/>
      <sz val="9"/>
      <color rgb="FF666666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b/>
      <i/>
      <sz val="10"/>
      <color rgb="FF1A1A1A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0"/>
      <color rgb="FF000000"/>
      <name val="Arial"/>
      <charset val="1"/>
    </font>
    <font>
      <i/>
      <sz val="8"/>
      <color rgb="FF888888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76B900"/>
        <bgColor rgb="FF808000"/>
      </patternFill>
    </fill>
    <fill>
      <patternFill patternType="solid">
        <fgColor rgb="FF1A1A1A"/>
        <bgColor rgb="FF33330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FFFFFF"/>
      </patternFill>
    </fill>
    <fill>
      <patternFill patternType="solid">
        <fgColor rgb="FFE0E0E0"/>
        <bgColor rgb="FFD6EAD1"/>
      </patternFill>
    </fill>
    <fill>
      <patternFill patternType="solid">
        <fgColor rgb="FFD6EAD1"/>
        <bgColor rgb="FFE0E0E0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0" fillId="0" borderId="0" xfId="0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0" fillId="4" borderId="1" xfId="0" applyFill="1" applyBorder="1"/>
    <xf numFmtId="0" fontId="7" fillId="4" borderId="1" xfId="0" applyFont="1" applyFill="1" applyBorder="1" applyAlignment="1">
      <alignment horizontal="left" vertical="center" indent="3"/>
    </xf>
    <xf numFmtId="164" fontId="8" fillId="4" borderId="1" xfId="0" applyNumberFormat="1" applyFont="1" applyFill="1" applyBorder="1" applyAlignment="1">
      <alignment horizontal="righ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0" fillId="5" borderId="1" xfId="0" applyFill="1" applyBorder="1"/>
    <xf numFmtId="0" fontId="7" fillId="5" borderId="1" xfId="0" applyFont="1" applyFill="1" applyBorder="1" applyAlignment="1">
      <alignment horizontal="left" vertical="center" indent="3"/>
    </xf>
    <xf numFmtId="164" fontId="8" fillId="5" borderId="1" xfId="0" applyNumberFormat="1" applyFont="1" applyFill="1" applyBorder="1" applyAlignment="1">
      <alignment horizontal="right" vertical="center"/>
    </xf>
    <xf numFmtId="164" fontId="7" fillId="5" borderId="1" xfId="0" applyNumberFormat="1" applyFont="1" applyFill="1" applyBorder="1" applyAlignment="1">
      <alignment horizontal="right" vertical="center"/>
    </xf>
    <xf numFmtId="165" fontId="7" fillId="5" borderId="1" xfId="0" applyNumberFormat="1" applyFont="1" applyFill="1" applyBorder="1" applyAlignment="1">
      <alignment horizontal="right" vertical="center"/>
    </xf>
    <xf numFmtId="0" fontId="0" fillId="6" borderId="1" xfId="0" applyFill="1" applyBorder="1"/>
    <xf numFmtId="0" fontId="9" fillId="6" borderId="1" xfId="0" applyFont="1" applyFill="1" applyBorder="1" applyAlignment="1">
      <alignment horizontal="left" vertical="center" indent="2"/>
    </xf>
    <xf numFmtId="164" fontId="9" fillId="6" borderId="1" xfId="0" applyNumberFormat="1" applyFont="1" applyFill="1" applyBorder="1" applyAlignment="1">
      <alignment horizontal="right" vertical="center"/>
    </xf>
    <xf numFmtId="165" fontId="9" fillId="6" borderId="1" xfId="0" applyNumberFormat="1" applyFont="1" applyFill="1" applyBorder="1" applyAlignment="1">
      <alignment horizontal="right" vertical="center"/>
    </xf>
    <xf numFmtId="0" fontId="0" fillId="7" borderId="1" xfId="0" applyFill="1" applyBorder="1"/>
    <xf numFmtId="0" fontId="9" fillId="7" borderId="1" xfId="0" applyFont="1" applyFill="1" applyBorder="1" applyAlignment="1">
      <alignment horizontal="left" vertical="center" indent="1"/>
    </xf>
    <xf numFmtId="164" fontId="9" fillId="7" borderId="1" xfId="0" applyNumberFormat="1" applyFont="1" applyFill="1" applyBorder="1" applyAlignment="1">
      <alignment horizontal="right" vertical="center"/>
    </xf>
    <xf numFmtId="165" fontId="9" fillId="7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 indent="2"/>
    </xf>
    <xf numFmtId="166" fontId="9" fillId="4" borderId="1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left" vertical="center" indent="2"/>
    </xf>
    <xf numFmtId="166" fontId="9" fillId="5" borderId="1" xfId="0" applyNumberFormat="1" applyFont="1" applyFill="1" applyBorder="1" applyAlignment="1">
      <alignment horizontal="right" vertical="center"/>
    </xf>
    <xf numFmtId="164" fontId="9" fillId="4" borderId="1" xfId="0" applyNumberFormat="1" applyFont="1" applyFill="1" applyBorder="1" applyAlignment="1">
      <alignment horizontal="right" vertical="center"/>
    </xf>
    <xf numFmtId="167" fontId="9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88888"/>
      <rgbColor rgb="FF9999FF"/>
      <rgbColor rgb="FF993366"/>
      <rgbColor rgb="FFF5F5F5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EAD1"/>
      <rgbColor rgb="FFFFFF99"/>
      <rgbColor rgb="FF99CCFF"/>
      <rgbColor rgb="FFFF99CC"/>
      <rgbColor rgb="FFCC99FF"/>
      <rgbColor rgb="FFFFCC99"/>
      <rgbColor rgb="FF3366FF"/>
      <rgbColor rgb="FF33CCCC"/>
      <rgbColor rgb="FF76B9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9"/>
  <sheetViews>
    <sheetView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sqref="A1:F1"/>
    </sheetView>
  </sheetViews>
  <sheetFormatPr defaultColWidth="8.7109375" defaultRowHeight="15" x14ac:dyDescent="0.25"/>
  <cols>
    <col min="1" max="1" width="5" customWidth="1"/>
    <col min="2" max="2" width="46" customWidth="1"/>
    <col min="3" max="4" width="18" customWidth="1"/>
    <col min="5" max="5" width="16" customWidth="1"/>
    <col min="6" max="6" width="12" customWidth="1"/>
  </cols>
  <sheetData>
    <row r="1" spans="1:6" ht="27.75" customHeight="1" x14ac:dyDescent="0.25">
      <c r="A1" s="6" t="s">
        <v>0</v>
      </c>
      <c r="B1" s="6"/>
      <c r="C1" s="6"/>
      <c r="D1" s="6"/>
      <c r="E1" s="6"/>
      <c r="F1" s="6"/>
    </row>
    <row r="2" spans="1:6" ht="21.75" customHeight="1" x14ac:dyDescent="0.25">
      <c r="A2" s="5" t="s">
        <v>1</v>
      </c>
      <c r="B2" s="5"/>
      <c r="C2" s="5"/>
      <c r="D2" s="5"/>
      <c r="E2" s="5"/>
      <c r="F2" s="5"/>
    </row>
    <row r="3" spans="1:6" ht="15.75" customHeight="1" x14ac:dyDescent="0.25">
      <c r="A3" s="4" t="s">
        <v>2</v>
      </c>
      <c r="B3" s="4"/>
      <c r="C3" s="4"/>
      <c r="D3" s="4"/>
      <c r="E3" s="4"/>
      <c r="F3" s="4"/>
    </row>
    <row r="5" spans="1:6" ht="31.5" customHeight="1" x14ac:dyDescent="0.25">
      <c r="A5" s="7"/>
      <c r="B5" s="7"/>
      <c r="C5" s="7" t="s">
        <v>3</v>
      </c>
      <c r="D5" s="7" t="s">
        <v>4</v>
      </c>
      <c r="E5" s="7" t="s">
        <v>5</v>
      </c>
      <c r="F5" s="7" t="s">
        <v>6</v>
      </c>
    </row>
    <row r="6" spans="1:6" ht="19.5" customHeight="1" x14ac:dyDescent="0.25">
      <c r="A6" s="3" t="s">
        <v>7</v>
      </c>
      <c r="B6" s="3"/>
      <c r="C6" s="3"/>
      <c r="D6" s="3"/>
      <c r="E6" s="3"/>
      <c r="F6" s="3"/>
    </row>
    <row r="7" spans="1:6" ht="6" customHeight="1" x14ac:dyDescent="0.25"/>
    <row r="8" spans="1:6" ht="16.5" customHeight="1" x14ac:dyDescent="0.25">
      <c r="B8" s="2" t="s">
        <v>8</v>
      </c>
      <c r="C8" s="2"/>
      <c r="D8" s="2"/>
      <c r="E8" s="2"/>
      <c r="F8" s="2"/>
    </row>
    <row r="9" spans="1:6" ht="18" customHeight="1" x14ac:dyDescent="0.25">
      <c r="A9" s="8"/>
      <c r="B9" s="9" t="s">
        <v>9</v>
      </c>
      <c r="C9" s="10">
        <v>8589</v>
      </c>
      <c r="D9" s="10">
        <v>7280</v>
      </c>
      <c r="E9" s="11">
        <f t="shared" ref="E9:E14" si="0">C9-D9</f>
        <v>1309</v>
      </c>
      <c r="F9" s="12">
        <f t="shared" ref="F9:F14" si="1">IF(D9&lt;&gt;0,(C9-D9)/ABS(D9),"-")</f>
        <v>0.17980769230769231</v>
      </c>
    </row>
    <row r="10" spans="1:6" ht="18" customHeight="1" x14ac:dyDescent="0.25">
      <c r="A10" s="13"/>
      <c r="B10" s="14" t="s">
        <v>10</v>
      </c>
      <c r="C10" s="15">
        <v>34621</v>
      </c>
      <c r="D10" s="15">
        <v>18704</v>
      </c>
      <c r="E10" s="16">
        <f t="shared" si="0"/>
        <v>15917</v>
      </c>
      <c r="F10" s="17">
        <f t="shared" si="1"/>
        <v>0.85099443969204447</v>
      </c>
    </row>
    <row r="11" spans="1:6" ht="18" customHeight="1" x14ac:dyDescent="0.25">
      <c r="A11" s="8"/>
      <c r="B11" s="9" t="s">
        <v>11</v>
      </c>
      <c r="C11" s="10">
        <v>23065</v>
      </c>
      <c r="D11" s="10">
        <v>9999</v>
      </c>
      <c r="E11" s="11">
        <f t="shared" si="0"/>
        <v>13066</v>
      </c>
      <c r="F11" s="12">
        <f t="shared" si="1"/>
        <v>1.3067306730673067</v>
      </c>
    </row>
    <row r="12" spans="1:6" ht="18" customHeight="1" x14ac:dyDescent="0.25">
      <c r="A12" s="13"/>
      <c r="B12" s="14" t="s">
        <v>12</v>
      </c>
      <c r="C12" s="15">
        <v>10080</v>
      </c>
      <c r="D12" s="15">
        <v>5282</v>
      </c>
      <c r="E12" s="16">
        <f t="shared" si="0"/>
        <v>4798</v>
      </c>
      <c r="F12" s="17">
        <f t="shared" si="1"/>
        <v>0.9083680424081787</v>
      </c>
    </row>
    <row r="13" spans="1:6" ht="18" customHeight="1" x14ac:dyDescent="0.25">
      <c r="A13" s="8"/>
      <c r="B13" s="9" t="s">
        <v>13</v>
      </c>
      <c r="C13" s="10">
        <v>3771</v>
      </c>
      <c r="D13" s="10">
        <v>3080</v>
      </c>
      <c r="E13" s="11">
        <f t="shared" si="0"/>
        <v>691</v>
      </c>
      <c r="F13" s="12">
        <f t="shared" si="1"/>
        <v>0.22435064935064936</v>
      </c>
    </row>
    <row r="14" spans="1:6" ht="18" customHeight="1" x14ac:dyDescent="0.25">
      <c r="A14" s="18"/>
      <c r="B14" s="19" t="s">
        <v>14</v>
      </c>
      <c r="C14" s="20">
        <v>80126</v>
      </c>
      <c r="D14" s="20">
        <v>44345</v>
      </c>
      <c r="E14" s="20">
        <f t="shared" si="0"/>
        <v>35781</v>
      </c>
      <c r="F14" s="21">
        <f t="shared" si="1"/>
        <v>0.8068778892772579</v>
      </c>
    </row>
    <row r="15" spans="1:6" ht="6" customHeight="1" x14ac:dyDescent="0.25"/>
    <row r="16" spans="1:6" ht="16.5" customHeight="1" x14ac:dyDescent="0.25">
      <c r="B16" s="2" t="s">
        <v>15</v>
      </c>
      <c r="C16" s="2"/>
      <c r="D16" s="2"/>
      <c r="E16" s="2"/>
      <c r="F16" s="2"/>
    </row>
    <row r="17" spans="1:6" ht="18" customHeight="1" x14ac:dyDescent="0.25">
      <c r="A17" s="8"/>
      <c r="B17" s="9" t="s">
        <v>16</v>
      </c>
      <c r="C17" s="10">
        <v>6283</v>
      </c>
      <c r="D17" s="10">
        <v>3914</v>
      </c>
      <c r="E17" s="11">
        <f t="shared" ref="E17:E22" si="2">C17-D17</f>
        <v>2369</v>
      </c>
      <c r="F17" s="12">
        <f t="shared" ref="F17:F22" si="3">IF(D17&lt;&gt;0,(C17-D17)/ABS(D17),"-")</f>
        <v>0.60526315789473684</v>
      </c>
    </row>
    <row r="18" spans="1:6" ht="18" customHeight="1" x14ac:dyDescent="0.25">
      <c r="A18" s="13"/>
      <c r="B18" s="14" t="s">
        <v>17</v>
      </c>
      <c r="C18" s="15">
        <v>1793</v>
      </c>
      <c r="D18" s="15">
        <v>1346</v>
      </c>
      <c r="E18" s="16">
        <f t="shared" si="2"/>
        <v>447</v>
      </c>
      <c r="F18" s="17">
        <f t="shared" si="3"/>
        <v>0.33209509658246655</v>
      </c>
    </row>
    <row r="19" spans="1:6" ht="18" customHeight="1" x14ac:dyDescent="0.25">
      <c r="A19" s="8"/>
      <c r="B19" s="9" t="s">
        <v>18</v>
      </c>
      <c r="C19" s="10">
        <v>5188</v>
      </c>
      <c r="D19" s="10">
        <v>4430</v>
      </c>
      <c r="E19" s="11">
        <f t="shared" si="2"/>
        <v>758</v>
      </c>
      <c r="F19" s="12">
        <f t="shared" si="3"/>
        <v>0.17110609480812641</v>
      </c>
    </row>
    <row r="20" spans="1:6" ht="18" customHeight="1" x14ac:dyDescent="0.25">
      <c r="A20" s="13"/>
      <c r="B20" s="14" t="s">
        <v>19</v>
      </c>
      <c r="C20" s="15">
        <v>807</v>
      </c>
      <c r="D20" s="15">
        <v>1112</v>
      </c>
      <c r="E20" s="16">
        <f t="shared" si="2"/>
        <v>-305</v>
      </c>
      <c r="F20" s="17">
        <f t="shared" si="3"/>
        <v>-0.27428057553956836</v>
      </c>
    </row>
    <row r="21" spans="1:6" ht="18" customHeight="1" x14ac:dyDescent="0.25">
      <c r="A21" s="8"/>
      <c r="B21" s="9" t="s">
        <v>20</v>
      </c>
      <c r="C21" s="10">
        <v>10979</v>
      </c>
      <c r="D21" s="10">
        <v>6081</v>
      </c>
      <c r="E21" s="11">
        <f t="shared" si="2"/>
        <v>4898</v>
      </c>
      <c r="F21" s="12">
        <f t="shared" si="3"/>
        <v>0.80545962835060025</v>
      </c>
    </row>
    <row r="22" spans="1:6" ht="18" customHeight="1" x14ac:dyDescent="0.25">
      <c r="A22" s="13"/>
      <c r="B22" s="14" t="s">
        <v>21</v>
      </c>
      <c r="C22" s="15">
        <v>6425</v>
      </c>
      <c r="D22" s="15">
        <v>4500</v>
      </c>
      <c r="E22" s="16">
        <f t="shared" si="2"/>
        <v>1925</v>
      </c>
      <c r="F22" s="17">
        <f t="shared" si="3"/>
        <v>0.42777777777777776</v>
      </c>
    </row>
    <row r="23" spans="1:6" ht="6" customHeight="1" x14ac:dyDescent="0.25"/>
    <row r="24" spans="1:6" ht="18" customHeight="1" x14ac:dyDescent="0.25">
      <c r="A24" s="22"/>
      <c r="B24" s="23" t="s">
        <v>22</v>
      </c>
      <c r="C24" s="24">
        <v>111601</v>
      </c>
      <c r="D24" s="24">
        <v>65728</v>
      </c>
      <c r="E24" s="24">
        <f>C24-D24</f>
        <v>45873</v>
      </c>
      <c r="F24" s="25">
        <f>IF(D24&lt;&gt;0,(C24-D24)/ABS(D24),"-")</f>
        <v>0.69792173807205449</v>
      </c>
    </row>
    <row r="25" spans="1:6" ht="6" customHeight="1" x14ac:dyDescent="0.25"/>
    <row r="26" spans="1:6" ht="19.5" customHeight="1" x14ac:dyDescent="0.25">
      <c r="A26" s="3" t="s">
        <v>23</v>
      </c>
      <c r="B26" s="3"/>
      <c r="C26" s="3"/>
      <c r="D26" s="3"/>
      <c r="E26" s="3"/>
      <c r="F26" s="3"/>
    </row>
    <row r="27" spans="1:6" ht="6" customHeight="1" x14ac:dyDescent="0.25"/>
    <row r="28" spans="1:6" ht="16.5" customHeight="1" x14ac:dyDescent="0.25">
      <c r="B28" s="2" t="s">
        <v>24</v>
      </c>
      <c r="C28" s="2"/>
      <c r="D28" s="2"/>
      <c r="E28" s="2"/>
      <c r="F28" s="2"/>
    </row>
    <row r="29" spans="1:6" ht="18" customHeight="1" x14ac:dyDescent="0.25">
      <c r="A29" s="8"/>
      <c r="B29" s="9" t="s">
        <v>25</v>
      </c>
      <c r="C29" s="10">
        <v>6310</v>
      </c>
      <c r="D29" s="10">
        <v>2699</v>
      </c>
      <c r="E29" s="11">
        <f>C29-D29</f>
        <v>3611</v>
      </c>
      <c r="F29" s="12">
        <f>IF(D29&lt;&gt;0,(C29-D29)/ABS(D29),"-")</f>
        <v>1.3379029270100038</v>
      </c>
    </row>
    <row r="30" spans="1:6" ht="18" customHeight="1" x14ac:dyDescent="0.25">
      <c r="A30" s="13"/>
      <c r="B30" s="14" t="s">
        <v>26</v>
      </c>
      <c r="C30" s="15">
        <v>11737</v>
      </c>
      <c r="D30" s="15">
        <v>6682</v>
      </c>
      <c r="E30" s="16">
        <f>C30-D30</f>
        <v>5055</v>
      </c>
      <c r="F30" s="17">
        <f>IF(D30&lt;&gt;0,(C30-D30)/ABS(D30),"-")</f>
        <v>0.75651002693804248</v>
      </c>
    </row>
    <row r="31" spans="1:6" ht="18" customHeight="1" x14ac:dyDescent="0.25">
      <c r="A31" s="8"/>
      <c r="B31" s="9" t="s">
        <v>27</v>
      </c>
      <c r="C31" s="10">
        <v>0</v>
      </c>
      <c r="D31" s="10">
        <v>1250</v>
      </c>
      <c r="E31" s="11">
        <f>C31-D31</f>
        <v>-1250</v>
      </c>
      <c r="F31" s="12">
        <f>IF(D31&lt;&gt;0,(C31-D31)/ABS(D31),"-")</f>
        <v>-1</v>
      </c>
    </row>
    <row r="32" spans="1:6" ht="18" customHeight="1" x14ac:dyDescent="0.25">
      <c r="A32" s="18"/>
      <c r="B32" s="19" t="s">
        <v>28</v>
      </c>
      <c r="C32" s="20">
        <v>18047</v>
      </c>
      <c r="D32" s="20">
        <v>10631</v>
      </c>
      <c r="E32" s="20">
        <f>C32-D32</f>
        <v>7416</v>
      </c>
      <c r="F32" s="21">
        <f>IF(D32&lt;&gt;0,(C32-D32)/ABS(D32),"-")</f>
        <v>0.69758254162355371</v>
      </c>
    </row>
    <row r="33" spans="1:6" ht="6" customHeight="1" x14ac:dyDescent="0.25"/>
    <row r="34" spans="1:6" ht="16.5" customHeight="1" x14ac:dyDescent="0.25">
      <c r="B34" s="2" t="s">
        <v>29</v>
      </c>
      <c r="C34" s="2"/>
      <c r="D34" s="2"/>
      <c r="E34" s="2"/>
      <c r="F34" s="2"/>
    </row>
    <row r="35" spans="1:6" ht="18" customHeight="1" x14ac:dyDescent="0.25">
      <c r="A35" s="8"/>
      <c r="B35" s="9" t="s">
        <v>30</v>
      </c>
      <c r="C35" s="10">
        <v>8463</v>
      </c>
      <c r="D35" s="10">
        <v>8459</v>
      </c>
      <c r="E35" s="11">
        <f>C35-D35</f>
        <v>4</v>
      </c>
      <c r="F35" s="12">
        <f>IF(D35&lt;&gt;0,(C35-D35)/ABS(D35),"-")</f>
        <v>4.7286913346731294E-4</v>
      </c>
    </row>
    <row r="36" spans="1:6" ht="18" customHeight="1" x14ac:dyDescent="0.25">
      <c r="A36" s="13"/>
      <c r="B36" s="14" t="s">
        <v>31</v>
      </c>
      <c r="C36" s="15">
        <v>1519</v>
      </c>
      <c r="D36" s="15">
        <v>1119</v>
      </c>
      <c r="E36" s="16">
        <f>C36-D36</f>
        <v>400</v>
      </c>
      <c r="F36" s="17">
        <f>IF(D36&lt;&gt;0,(C36-D36)/ABS(D36),"-")</f>
        <v>0.35746201966041108</v>
      </c>
    </row>
    <row r="37" spans="1:6" ht="18" customHeight="1" x14ac:dyDescent="0.25">
      <c r="A37" s="8"/>
      <c r="B37" s="9" t="s">
        <v>32</v>
      </c>
      <c r="C37" s="10">
        <v>4245</v>
      </c>
      <c r="D37" s="10">
        <v>2541</v>
      </c>
      <c r="E37" s="11">
        <f>C37-D37</f>
        <v>1704</v>
      </c>
      <c r="F37" s="12">
        <f>IF(D37&lt;&gt;0,(C37-D37)/ABS(D37),"-")</f>
        <v>0.67060212514757966</v>
      </c>
    </row>
    <row r="38" spans="1:6" ht="18" customHeight="1" x14ac:dyDescent="0.25">
      <c r="A38" s="18"/>
      <c r="B38" s="19" t="s">
        <v>33</v>
      </c>
      <c r="C38" s="20">
        <v>32274</v>
      </c>
      <c r="D38" s="20">
        <v>22750</v>
      </c>
      <c r="E38" s="20">
        <f>C38-D38</f>
        <v>9524</v>
      </c>
      <c r="F38" s="21">
        <f>IF(D38&lt;&gt;0,(C38-D38)/ABS(D38),"-")</f>
        <v>0.41863736263736262</v>
      </c>
    </row>
    <row r="39" spans="1:6" ht="6" customHeight="1" x14ac:dyDescent="0.25"/>
    <row r="40" spans="1:6" ht="16.5" customHeight="1" x14ac:dyDescent="0.25">
      <c r="B40" s="2" t="s">
        <v>34</v>
      </c>
      <c r="C40" s="2"/>
      <c r="D40" s="2"/>
      <c r="E40" s="2"/>
      <c r="F40" s="2"/>
    </row>
    <row r="41" spans="1:6" ht="18" customHeight="1" x14ac:dyDescent="0.25">
      <c r="A41" s="8"/>
      <c r="B41" s="9" t="s">
        <v>35</v>
      </c>
      <c r="C41" s="10">
        <v>0</v>
      </c>
      <c r="D41" s="10">
        <v>0</v>
      </c>
      <c r="E41" s="11">
        <f t="shared" ref="E41:E46" si="4">C41-D41</f>
        <v>0</v>
      </c>
      <c r="F41" s="12" t="str">
        <f t="shared" ref="F41:F46" si="5">IF(D41&lt;&gt;0,(C41-D41)/ABS(D41),"-")</f>
        <v>-</v>
      </c>
    </row>
    <row r="42" spans="1:6" ht="18" customHeight="1" x14ac:dyDescent="0.25">
      <c r="A42" s="13"/>
      <c r="B42" s="14" t="s">
        <v>36</v>
      </c>
      <c r="C42" s="15">
        <v>24</v>
      </c>
      <c r="D42" s="15">
        <v>25</v>
      </c>
      <c r="E42" s="16">
        <f t="shared" si="4"/>
        <v>-1</v>
      </c>
      <c r="F42" s="17">
        <f t="shared" si="5"/>
        <v>-0.04</v>
      </c>
    </row>
    <row r="43" spans="1:6" ht="18" customHeight="1" x14ac:dyDescent="0.25">
      <c r="A43" s="8"/>
      <c r="B43" s="9" t="s">
        <v>37</v>
      </c>
      <c r="C43" s="10">
        <v>11237</v>
      </c>
      <c r="D43" s="10">
        <v>13109</v>
      </c>
      <c r="E43" s="11">
        <f t="shared" si="4"/>
        <v>-1872</v>
      </c>
      <c r="F43" s="12">
        <f t="shared" si="5"/>
        <v>-0.14280265466473416</v>
      </c>
    </row>
    <row r="44" spans="1:6" ht="18" customHeight="1" x14ac:dyDescent="0.25">
      <c r="A44" s="13"/>
      <c r="B44" s="14" t="s">
        <v>38</v>
      </c>
      <c r="C44" s="15">
        <v>28</v>
      </c>
      <c r="D44" s="15">
        <v>27</v>
      </c>
      <c r="E44" s="16">
        <f t="shared" si="4"/>
        <v>1</v>
      </c>
      <c r="F44" s="17">
        <f t="shared" si="5"/>
        <v>3.7037037037037035E-2</v>
      </c>
    </row>
    <row r="45" spans="1:6" ht="18" customHeight="1" x14ac:dyDescent="0.25">
      <c r="A45" s="8"/>
      <c r="B45" s="9" t="s">
        <v>39</v>
      </c>
      <c r="C45" s="10">
        <v>68038</v>
      </c>
      <c r="D45" s="10">
        <v>29817</v>
      </c>
      <c r="E45" s="11">
        <f t="shared" si="4"/>
        <v>38221</v>
      </c>
      <c r="F45" s="12">
        <f t="shared" si="5"/>
        <v>1.2818526344031929</v>
      </c>
    </row>
    <row r="46" spans="1:6" ht="18" customHeight="1" x14ac:dyDescent="0.25">
      <c r="A46" s="18"/>
      <c r="B46" s="19" t="s">
        <v>40</v>
      </c>
      <c r="C46" s="20">
        <v>79327</v>
      </c>
      <c r="D46" s="20">
        <v>42978</v>
      </c>
      <c r="E46" s="20">
        <f t="shared" si="4"/>
        <v>36349</v>
      </c>
      <c r="F46" s="21">
        <f t="shared" si="5"/>
        <v>0.84575829494159804</v>
      </c>
    </row>
    <row r="47" spans="1:6" ht="6" customHeight="1" x14ac:dyDescent="0.25"/>
    <row r="48" spans="1:6" ht="18" customHeight="1" x14ac:dyDescent="0.25">
      <c r="A48" s="22"/>
      <c r="B48" s="23" t="s">
        <v>41</v>
      </c>
      <c r="C48" s="24">
        <v>111601</v>
      </c>
      <c r="D48" s="24">
        <v>65728</v>
      </c>
      <c r="E48" s="24">
        <f>C48-D48</f>
        <v>45873</v>
      </c>
      <c r="F48" s="25">
        <f>IF(D48&lt;&gt;0,(C48-D48)/ABS(D48),"-")</f>
        <v>0.69792173807205449</v>
      </c>
    </row>
    <row r="49" spans="1:6" ht="6" customHeight="1" x14ac:dyDescent="0.25"/>
    <row r="50" spans="1:6" ht="6" customHeight="1" x14ac:dyDescent="0.25"/>
    <row r="51" spans="1:6" ht="19.5" customHeight="1" x14ac:dyDescent="0.25">
      <c r="A51" s="3" t="s">
        <v>42</v>
      </c>
      <c r="B51" s="3"/>
      <c r="C51" s="3"/>
      <c r="D51" s="3"/>
      <c r="E51" s="3"/>
      <c r="F51" s="3"/>
    </row>
    <row r="52" spans="1:6" ht="6" customHeight="1" x14ac:dyDescent="0.25"/>
    <row r="53" spans="1:6" ht="18" customHeight="1" x14ac:dyDescent="0.25">
      <c r="A53" s="8"/>
      <c r="B53" s="26" t="s">
        <v>43</v>
      </c>
      <c r="C53" s="27">
        <f>80126/18047</f>
        <v>4.4398514988640772</v>
      </c>
      <c r="D53" s="27">
        <f>44345/10631</f>
        <v>4.1712915059730973</v>
      </c>
      <c r="E53" s="8"/>
      <c r="F53" s="8"/>
    </row>
    <row r="54" spans="1:6" ht="18" customHeight="1" x14ac:dyDescent="0.25">
      <c r="A54" s="13"/>
      <c r="B54" s="28" t="s">
        <v>44</v>
      </c>
      <c r="C54" s="29">
        <f>32274/79327</f>
        <v>0.40684760548110982</v>
      </c>
      <c r="D54" s="29">
        <f>22750/42978</f>
        <v>0.52934059286146395</v>
      </c>
      <c r="E54" s="13"/>
      <c r="F54" s="13"/>
    </row>
    <row r="55" spans="1:6" ht="18" customHeight="1" x14ac:dyDescent="0.25">
      <c r="A55" s="8"/>
      <c r="B55" s="26" t="s">
        <v>45</v>
      </c>
      <c r="C55" s="30">
        <f>111601-32274</f>
        <v>79327</v>
      </c>
      <c r="D55" s="30">
        <f>65728-22750</f>
        <v>42978</v>
      </c>
      <c r="E55" s="8"/>
      <c r="F55" s="8"/>
    </row>
    <row r="56" spans="1:6" ht="18" customHeight="1" x14ac:dyDescent="0.25">
      <c r="A56" s="13"/>
      <c r="B56" s="28" t="s">
        <v>46</v>
      </c>
      <c r="C56" s="31">
        <f>5188/111601</f>
        <v>4.6487038646607109E-2</v>
      </c>
      <c r="D56" s="31">
        <f>4430/65728</f>
        <v>6.739897760467381E-2</v>
      </c>
      <c r="E56" s="13"/>
      <c r="F56" s="13"/>
    </row>
    <row r="57" spans="1:6" ht="18" customHeight="1" x14ac:dyDescent="0.25">
      <c r="A57" s="8"/>
      <c r="B57" s="26" t="s">
        <v>47</v>
      </c>
      <c r="C57" s="30">
        <f>8589+34621</f>
        <v>43210</v>
      </c>
      <c r="D57" s="30">
        <f>7280+18704</f>
        <v>25984</v>
      </c>
      <c r="E57" s="8"/>
      <c r="F57" s="8"/>
    </row>
    <row r="58" spans="1:6" ht="6" customHeight="1" x14ac:dyDescent="0.25"/>
    <row r="59" spans="1:6" ht="13.5" customHeight="1" x14ac:dyDescent="0.25">
      <c r="A59" s="1" t="s">
        <v>48</v>
      </c>
      <c r="B59" s="1"/>
      <c r="C59" s="1"/>
      <c r="D59" s="1"/>
      <c r="E59" s="1"/>
      <c r="F59" s="1"/>
    </row>
  </sheetData>
  <mergeCells count="12">
    <mergeCell ref="A51:F51"/>
    <mergeCell ref="A59:F59"/>
    <mergeCell ref="B16:F16"/>
    <mergeCell ref="A26:F26"/>
    <mergeCell ref="B28:F28"/>
    <mergeCell ref="B34:F34"/>
    <mergeCell ref="B40:F40"/>
    <mergeCell ref="A1:F1"/>
    <mergeCell ref="A2:F2"/>
    <mergeCell ref="A3:F3"/>
    <mergeCell ref="A6:F6"/>
    <mergeCell ref="B8:F8"/>
  </mergeCell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Balance Sheet</vt:lpstr>
      <vt:lpstr>'Balance 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Troy Dixon</cp:lastModifiedBy>
  <cp:revision>0</cp:revision>
  <dcterms:created xsi:type="dcterms:W3CDTF">2026-03-24T03:01:13Z</dcterms:created>
  <dcterms:modified xsi:type="dcterms:W3CDTF">2026-03-24T03:06:14Z</dcterms:modified>
  <dc:language>en-US</dc:language>
</cp:coreProperties>
</file>